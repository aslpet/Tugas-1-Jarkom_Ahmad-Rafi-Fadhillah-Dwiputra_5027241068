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06588B6A-50B6-4E55-85AF-5C2447992A89}" xr6:coauthVersionLast="47" xr6:coauthVersionMax="47" xr10:uidLastSave="{00000000-0000-0000-0000-000000000000}"/>
  <bookViews>
    <workbookView xWindow="3072" yWindow="0" windowWidth="17712" windowHeight="12960" xr2:uid="{00000000-000D-0000-FFFF-FFFF00000000}"/>
  </bookViews>
  <sheets>
    <sheet name="Subnetting" sheetId="1" r:id="rId1"/>
    <sheet name="VLSM" sheetId="2" r:id="rId2"/>
    <sheet name="CID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<sst xmlns="http://schemas.openxmlformats.org/spreadsheetml/2006/main" count="186" uniqueCount="137">
  <si>
    <t>TOPOLOGI</t>
  </si>
  <si>
    <t>Kebutuhan Ruang</t>
  </si>
  <si>
    <t>Jml Host (Termasuk Gateway)</t>
  </si>
  <si>
    <t>Prefix</t>
  </si>
  <si>
    <t>Block Size</t>
  </si>
  <si>
    <t>Sekretariat</t>
  </si>
  <si>
    <t>/23</t>
  </si>
  <si>
    <t>Bidang Kurikulum</t>
  </si>
  <si>
    <t>/24</t>
  </si>
  <si>
    <t>Bidang Guru &amp; Tendik</t>
  </si>
  <si>
    <t>/25</t>
  </si>
  <si>
    <t>Bidang Sarana Prasarana</t>
  </si>
  <si>
    <t>/26</t>
  </si>
  <si>
    <t>Bidang Pengawas Sekolah</t>
  </si>
  <si>
    <t>/27</t>
  </si>
  <si>
    <t>Server &amp; Admin</t>
  </si>
  <si>
    <t>/28</t>
  </si>
  <si>
    <t>Interlink Kantor Pusat</t>
  </si>
  <si>
    <t>/29</t>
  </si>
  <si>
    <t>Link WAN (P2P)</t>
  </si>
  <si>
    <t>/30</t>
  </si>
  <si>
    <t>TOTAL HOSTS</t>
  </si>
  <si>
    <t>/22</t>
  </si>
  <si>
    <t>Network Address</t>
  </si>
  <si>
    <t>Subnet Mask</t>
  </si>
  <si>
    <t>Usable IP Range</t>
  </si>
  <si>
    <t>Broadcast</t>
  </si>
  <si>
    <t>Gateway (Contoh)</t>
  </si>
  <si>
    <t>10.108.2.0</t>
  </si>
  <si>
    <t>255.255.254.0</t>
  </si>
  <si>
    <t>10.108.2.1 - 10.108.3.254</t>
  </si>
  <si>
    <t>10.108.3.255</t>
  </si>
  <si>
    <t>10.108.2.1</t>
  </si>
  <si>
    <t>10.108.1.0</t>
  </si>
  <si>
    <t>255.255.255.0</t>
  </si>
  <si>
    <t>10.108.1.1 - 10.108.1.254</t>
  </si>
  <si>
    <t>10.108.1.255</t>
  </si>
  <si>
    <t>10.108.1.1</t>
  </si>
  <si>
    <t>10.108.0.128</t>
  </si>
  <si>
    <t>255.255.255.128</t>
  </si>
  <si>
    <t>10.108.0.129 - 10.108.0.254</t>
  </si>
  <si>
    <t>10.108.0.255</t>
  </si>
  <si>
    <t>10.108.0.129</t>
  </si>
  <si>
    <t>10.108.0.64</t>
  </si>
  <si>
    <t>255.255.255.192</t>
  </si>
  <si>
    <t>10.108.0.65 - 10.108.0.126</t>
  </si>
  <si>
    <t>10.108.0.127</t>
  </si>
  <si>
    <t>10.108.0.65</t>
  </si>
  <si>
    <t>10.108.0.32</t>
  </si>
  <si>
    <t>255.255.255.224</t>
  </si>
  <si>
    <t>10.108.0.33 - 10.108.0.62</t>
  </si>
  <si>
    <t>10.108.0.63</t>
  </si>
  <si>
    <t>10.108.0.33</t>
  </si>
  <si>
    <t>10.108.0.16</t>
  </si>
  <si>
    <t>255.255.255.240</t>
  </si>
  <si>
    <t>10.108.0.17 - 10.108.0.30</t>
  </si>
  <si>
    <t>10.108.0.31</t>
  </si>
  <si>
    <t>10.108.0.17</t>
  </si>
  <si>
    <t>10.108.0.8</t>
  </si>
  <si>
    <t>255.255.255.248</t>
  </si>
  <si>
    <t>10.108.0.9 - 10.108.0.14</t>
  </si>
  <si>
    <t>10.108.0.15</t>
  </si>
  <si>
    <t>10.108.0.9</t>
  </si>
  <si>
    <t>10.108.0.0</t>
  </si>
  <si>
    <t>255.255.255.252</t>
  </si>
  <si>
    <t>10.108.0.1 - 10.108.0.2</t>
  </si>
  <si>
    <t>10.108.0.3</t>
  </si>
  <si>
    <t>10.108.0.1</t>
  </si>
  <si>
    <t>TurunanVLSM</t>
  </si>
  <si>
    <t>TurunanCIDR</t>
  </si>
  <si>
    <t>Subnet</t>
  </si>
  <si>
    <t>Nama Subnet</t>
  </si>
  <si>
    <t>Network / Prefix</t>
  </si>
  <si>
    <t>Range Host (usable)</t>
  </si>
  <si>
    <t>A1</t>
  </si>
  <si>
    <t>10.108.0.0/23</t>
  </si>
  <si>
    <t>10.108.0.1 – 10.108.1.254</t>
  </si>
  <si>
    <t>A2</t>
  </si>
  <si>
    <t>10.108.2.0/24</t>
  </si>
  <si>
    <t>10.108.2.255</t>
  </si>
  <si>
    <t>10.108.2.1 – 10.108.2.254</t>
  </si>
  <si>
    <t>A3</t>
  </si>
  <si>
    <t>10.108.3.0/25</t>
  </si>
  <si>
    <t>10.108.3.0</t>
  </si>
  <si>
    <t>10.108.3.127</t>
  </si>
  <si>
    <t>10.108.3.1 – 10.108.3.126</t>
  </si>
  <si>
    <t>A4</t>
  </si>
  <si>
    <t>10.108.3.128/26</t>
  </si>
  <si>
    <t>10.108.3.128</t>
  </si>
  <si>
    <t>10.108.3.191</t>
  </si>
  <si>
    <t>10.108.3.129 – 10.108.3.190</t>
  </si>
  <si>
    <t>A5</t>
  </si>
  <si>
    <t>10.108.3.192/28</t>
  </si>
  <si>
    <t>10.108.3.192</t>
  </si>
  <si>
    <t>10.108.3.207</t>
  </si>
  <si>
    <t>10.108.3.193 – 10.108.3.206</t>
  </si>
  <si>
    <t>A7</t>
  </si>
  <si>
    <t>10.108.3.208/29</t>
  </si>
  <si>
    <t>10.108.3.208</t>
  </si>
  <si>
    <t>10.108.3.215</t>
  </si>
  <si>
    <t>10.108.3.209 – 10.108.3.214</t>
  </si>
  <si>
    <t>A6</t>
  </si>
  <si>
    <t>Bidang Pengawas (Cabang)</t>
  </si>
  <si>
    <t>10.108.4.0/27</t>
  </si>
  <si>
    <t>10.108.4.0</t>
  </si>
  <si>
    <t>10.108.4.31</t>
  </si>
  <si>
    <t>10.108.4.1 – 10.108.4.30</t>
  </si>
  <si>
    <t>A8</t>
  </si>
  <si>
    <t>10.108.4.32/30</t>
  </si>
  <si>
    <t>10.108.4.32</t>
  </si>
  <si>
    <t>10.108.4.35</t>
  </si>
  <si>
    <t>10.108.4.33 – 10.108.4.34</t>
  </si>
  <si>
    <t>Level</t>
  </si>
  <si>
    <t>Keterangan Penggabungan</t>
  </si>
  <si>
    <t>Hasil Gabungan</t>
  </si>
  <si>
    <t>Netmask</t>
  </si>
  <si>
    <t>Broadcast Address</t>
  </si>
  <si>
    <t>Level 1</t>
  </si>
  <si>
    <t>Gabungkan subnet-subnet di 10.108.3.x (A3, A4, A5, A7)</t>
  </si>
  <si>
    <t>10.108.3.0/24</t>
  </si>
  <si>
    <t>Level 2</t>
  </si>
  <si>
    <t>Gabungkan hasil Level 1 (...3.0/24) dengan A2 (...2.0/24)</t>
  </si>
  <si>
    <t>10.108.2.0/23</t>
  </si>
  <si>
    <t>Level 3 (Blok B1)</t>
  </si>
  <si>
    <t>Gabungkan hasil Level 2 (...2.0/23) dengan A1 (...0.0/23)</t>
  </si>
  <si>
    <t>10.108.0.0/22</t>
  </si>
  <si>
    <t>255.255.252.0</t>
  </si>
  <si>
    <t>Level 4 (Blok B2)</t>
  </si>
  <si>
    <t>Gabungkan semua subnet Cabang (A6, A8) di 10.108.4.x</t>
  </si>
  <si>
    <t>10.108.4.0/26</t>
  </si>
  <si>
    <t>10.108.4.63</t>
  </si>
  <si>
    <t>Level 5 (Blok C1)</t>
  </si>
  <si>
    <t>Gabungkan Blok B1 (...0.0/22) dan Blok B2 (...4.0/26)</t>
  </si>
  <si>
    <t>10.108.0.0/21</t>
  </si>
  <si>
    <t>/21</t>
  </si>
  <si>
    <t>255.255.248.0</t>
  </si>
  <si>
    <t>10.108.7.255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</si>
</sst>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&quot;Google Sans Text&quot;"/>
    </font>
    <font>
      <b/>
      <sz val="10"/>
      <color rgb="FF1B1C1D"/>
      <name val="&quot;Google Sans Text&quot;"/>
    </font>
    <font>
      <sz val="10"/>
      <color rgb="FF1B1C1D"/>
      <name val="&quot;Google Sans Text&quot;"/>
    </font>
    <font>
      <sz val="10"/>
      <color rgb="FF444746"/>
      <name val="&quot;Google Sans Text&quot;"/>
    </font>
    <font>
      <b/>
      <sz val="10"/>
      <color rgb="FF444746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ubnetting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VLSM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IDR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IDR-style 2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933450</xdr:colOff>
      <xdr:row>1</xdr:row>
      <xdr:rowOff>285750</xdr:rowOff>
    </xdr:from>
    <xdr:ext cx="5924550" cy="426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933450</xdr:colOff>
      <xdr:row>11</xdr:row>
      <xdr:rowOff>171450</xdr:rowOff>
    </xdr:from>
    <xdr:ext cx="6429375" cy="4267200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933450</xdr:colOff>
      <xdr:row>0</xdr:row>
      <xdr:rowOff>266700</xdr:rowOff>
    </xdr:from>
    <xdr:ext cx="6029325" cy="42672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C3:F12">
  <tableColumns count="4">
    <tableColumn id="1" xr3:uid="{00000000-0010-0000-0000-000001000000}" name="Kebutuhan Ruang"/>
    <tableColumn id="2" xr3:uid="{00000000-0010-0000-0000-000002000000}" name="Jml Host (Termasuk Gateway)"/>
    <tableColumn id="3" xr3:uid="{00000000-0010-0000-0000-000003000000}" name="Prefix"/>
    <tableColumn id="4" xr3:uid="{00000000-0010-0000-0000-000004000000}" name="Block Size"/>
  </tableColumns>
  <tableStyleInfo name="Subnet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LSM" displayName="VLSM" ref="B2:J10">
  <tableColumns count="9">
    <tableColumn id="1" xr3:uid="{00000000-0010-0000-0100-000001000000}" name="Kebutuhan Ruang"/>
    <tableColumn id="2" xr3:uid="{00000000-0010-0000-0100-000002000000}" name="Jml Host (Termasuk Gateway)"/>
    <tableColumn id="3" xr3:uid="{00000000-0010-0000-0100-000003000000}" name="Block Size"/>
    <tableColumn id="4" xr3:uid="{00000000-0010-0000-0100-000004000000}" name="Prefix"/>
    <tableColumn id="5" xr3:uid="{00000000-0010-0000-0100-000005000000}" name="Network Address"/>
    <tableColumn id="6" xr3:uid="{00000000-0010-0000-0100-000006000000}" name="Subnet Mask"/>
    <tableColumn id="7" xr3:uid="{00000000-0010-0000-0100-000007000000}" name="Usable IP Range"/>
    <tableColumn id="8" xr3:uid="{00000000-0010-0000-0100-000008000000}" name="Broadcast"/>
    <tableColumn id="9" xr3:uid="{00000000-0010-0000-0100-000009000000}" name="Gateway (Contoh)"/>
  </tableColumns>
  <tableStyleInfo name="VLS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okasiSubnet" displayName="AlokasiSubnet" ref="B2:G10">
  <tableColumns count="6">
    <tableColumn id="1" xr3:uid="{00000000-0010-0000-0200-000001000000}" name="Subnet"/>
    <tableColumn id="2" xr3:uid="{00000000-0010-0000-0200-000002000000}" name="Nama Subnet"/>
    <tableColumn id="3" xr3:uid="{00000000-0010-0000-0200-000003000000}" name="Network / Prefix"/>
    <tableColumn id="4" xr3:uid="{00000000-0010-0000-0200-000004000000}" name="Network Address"/>
    <tableColumn id="5" xr3:uid="{00000000-0010-0000-0200-000005000000}" name="Broadcast"/>
    <tableColumn id="6" xr3:uid="{00000000-0010-0000-0200-000006000000}" name="Range Host (usable)"/>
  </tableColumns>
  <tableStyleInfo name="CID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gregasiCIDR" displayName="AgregasiCIDR" ref="B12:H17">
  <tableColumns count="7">
    <tableColumn id="1" xr3:uid="{00000000-0010-0000-0300-000001000000}" name="Level"/>
    <tableColumn id="2" xr3:uid="{00000000-0010-0000-0300-000002000000}" name="Keterangan Penggabungan"/>
    <tableColumn id="3" xr3:uid="{00000000-0010-0000-0300-000003000000}" name="Hasil Gabungan"/>
    <tableColumn id="4" xr3:uid="{00000000-0010-0000-0300-000004000000}" name="Prefix"/>
    <tableColumn id="5" xr3:uid="{00000000-0010-0000-0300-000005000000}" name="Netmask"/>
    <tableColumn id="6" xr3:uid="{00000000-0010-0000-0300-000006000000}" name="Network Address"/>
    <tableColumn id="7" xr3:uid="{00000000-0010-0000-0300-000007000000}" name="Broadcast Address"/>
  </tableColumns>
  <tableStyleInfo name="CIDR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2:H12"/>
  <sheetViews>
    <sheetView tabSelected="1" workbookViewId="0"/>
  </sheetViews>
  <sheetFormatPr defaultColWidth="12.6640625" defaultRowHeight="15.75" customHeight="1"/>
  <cols>
    <col min="3" max="3" width="18.44140625" customWidth="1"/>
    <col min="4" max="4" width="12.77734375" customWidth="1"/>
    <col min="5" max="5" width="9.33203125" customWidth="1"/>
  </cols>
  <sheetData>
    <row r="2" spans="3:8" ht="13.2">
      <c r="H2" s="1" t="s">
        <v>0</v>
      </c>
    </row>
    <row r="3" spans="3:8" ht="22.5" customHeight="1">
      <c r="C3" s="2" t="s">
        <v>1</v>
      </c>
      <c r="D3" s="2" t="s">
        <v>2</v>
      </c>
      <c r="E3" s="2" t="s">
        <v>3</v>
      </c>
      <c r="F3" s="2" t="s">
        <v>4</v>
      </c>
    </row>
    <row r="4" spans="3:8" ht="22.5" customHeight="1">
      <c r="C4" s="3" t="s">
        <v>5</v>
      </c>
      <c r="D4" s="4">
        <v>381</v>
      </c>
      <c r="E4" s="3" t="s">
        <v>6</v>
      </c>
      <c r="F4" s="4">
        <v>512</v>
      </c>
    </row>
    <row r="5" spans="3:8" ht="22.5" customHeight="1">
      <c r="C5" s="3" t="s">
        <v>7</v>
      </c>
      <c r="D5" s="4">
        <v>221</v>
      </c>
      <c r="E5" s="3" t="s">
        <v>8</v>
      </c>
      <c r="F5" s="4">
        <v>256</v>
      </c>
    </row>
    <row r="6" spans="3:8" ht="22.5" customHeight="1">
      <c r="C6" s="3" t="s">
        <v>9</v>
      </c>
      <c r="D6" s="4">
        <v>96</v>
      </c>
      <c r="E6" s="3" t="s">
        <v>10</v>
      </c>
      <c r="F6" s="4">
        <v>128</v>
      </c>
    </row>
    <row r="7" spans="3:8" ht="22.5" customHeight="1">
      <c r="C7" s="3" t="s">
        <v>11</v>
      </c>
      <c r="D7" s="4">
        <v>46</v>
      </c>
      <c r="E7" s="3" t="s">
        <v>12</v>
      </c>
      <c r="F7" s="4">
        <v>64</v>
      </c>
    </row>
    <row r="8" spans="3:8" ht="22.5" customHeight="1">
      <c r="C8" s="3" t="s">
        <v>13</v>
      </c>
      <c r="D8" s="4">
        <v>19</v>
      </c>
      <c r="E8" s="3" t="s">
        <v>14</v>
      </c>
      <c r="F8" s="4">
        <v>32</v>
      </c>
    </row>
    <row r="9" spans="3:8" ht="22.5" customHeight="1">
      <c r="C9" s="3" t="s">
        <v>15</v>
      </c>
      <c r="D9" s="4">
        <v>7</v>
      </c>
      <c r="E9" s="3" t="s">
        <v>16</v>
      </c>
      <c r="F9" s="4">
        <v>16</v>
      </c>
    </row>
    <row r="10" spans="3:8" ht="22.5" customHeight="1">
      <c r="C10" s="3" t="s">
        <v>17</v>
      </c>
      <c r="D10" s="4">
        <v>6</v>
      </c>
      <c r="E10" s="3" t="s">
        <v>18</v>
      </c>
      <c r="F10" s="4">
        <v>8</v>
      </c>
    </row>
    <row r="11" spans="3:8" ht="22.5" customHeight="1">
      <c r="C11" s="3" t="s">
        <v>19</v>
      </c>
      <c r="D11" s="4">
        <v>2</v>
      </c>
      <c r="E11" s="3" t="s">
        <v>20</v>
      </c>
      <c r="F11" s="4">
        <v>4</v>
      </c>
    </row>
    <row r="12" spans="3:8" ht="22.5" customHeight="1">
      <c r="C12" s="3" t="s">
        <v>21</v>
      </c>
      <c r="D12" s="4">
        <f>SUM(D4:D11)</f>
        <v>778</v>
      </c>
      <c r="E12" s="3" t="s">
        <v>22</v>
      </c>
      <c r="F12" s="4">
        <v>1024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J12"/>
  <sheetViews>
    <sheetView topLeftCell="B1" workbookViewId="0"/>
  </sheetViews>
  <sheetFormatPr defaultColWidth="12.6640625" defaultRowHeight="15.75" customHeight="1"/>
  <cols>
    <col min="2" max="2" width="23.6640625" customWidth="1"/>
    <col min="3" max="3" width="11.109375" customWidth="1"/>
    <col min="4" max="4" width="13.109375" customWidth="1"/>
    <col min="5" max="5" width="9.44140625" customWidth="1"/>
    <col min="6" max="6" width="18.21875" customWidth="1"/>
    <col min="7" max="7" width="15.21875" customWidth="1"/>
    <col min="8" max="8" width="24.109375" customWidth="1"/>
    <col min="9" max="10" width="19.109375" customWidth="1"/>
  </cols>
  <sheetData>
    <row r="2" spans="2:10" ht="22.5" customHeight="1">
      <c r="B2" s="2" t="s">
        <v>1</v>
      </c>
      <c r="C2" s="2" t="s">
        <v>2</v>
      </c>
      <c r="D2" s="2" t="s">
        <v>4</v>
      </c>
      <c r="E2" s="2" t="s">
        <v>3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</row>
    <row r="3" spans="2:10" ht="22.5" customHeight="1">
      <c r="B3" s="3" t="s">
        <v>5</v>
      </c>
      <c r="C3" s="4">
        <v>381</v>
      </c>
      <c r="D3" s="4">
        <v>512</v>
      </c>
      <c r="E3" s="3" t="s">
        <v>6</v>
      </c>
      <c r="F3" s="3" t="s">
        <v>28</v>
      </c>
      <c r="G3" s="4" t="s">
        <v>29</v>
      </c>
      <c r="H3" s="4" t="s">
        <v>30</v>
      </c>
      <c r="I3" s="4" t="s">
        <v>31</v>
      </c>
      <c r="J3" s="4" t="s">
        <v>32</v>
      </c>
    </row>
    <row r="4" spans="2:10" ht="22.5" customHeight="1">
      <c r="B4" s="3" t="s">
        <v>7</v>
      </c>
      <c r="C4" s="4">
        <v>221</v>
      </c>
      <c r="D4" s="4">
        <v>256</v>
      </c>
      <c r="E4" s="3" t="s">
        <v>8</v>
      </c>
      <c r="F4" s="3" t="s">
        <v>33</v>
      </c>
      <c r="G4" s="4" t="s">
        <v>34</v>
      </c>
      <c r="H4" s="4" t="s">
        <v>35</v>
      </c>
      <c r="I4" s="4" t="s">
        <v>36</v>
      </c>
      <c r="J4" s="4" t="s">
        <v>37</v>
      </c>
    </row>
    <row r="5" spans="2:10" ht="22.5" customHeight="1">
      <c r="B5" s="3" t="s">
        <v>9</v>
      </c>
      <c r="C5" s="4">
        <v>96</v>
      </c>
      <c r="D5" s="4">
        <v>128</v>
      </c>
      <c r="E5" s="3" t="s">
        <v>10</v>
      </c>
      <c r="F5" s="3" t="s">
        <v>38</v>
      </c>
      <c r="G5" s="4" t="s">
        <v>39</v>
      </c>
      <c r="H5" s="4" t="s">
        <v>40</v>
      </c>
      <c r="I5" s="4" t="s">
        <v>41</v>
      </c>
      <c r="J5" s="4" t="s">
        <v>42</v>
      </c>
    </row>
    <row r="6" spans="2:10" ht="22.5" customHeight="1">
      <c r="B6" s="3" t="s">
        <v>11</v>
      </c>
      <c r="C6" s="4">
        <v>46</v>
      </c>
      <c r="D6" s="4">
        <v>64</v>
      </c>
      <c r="E6" s="3" t="s">
        <v>12</v>
      </c>
      <c r="F6" s="3" t="s">
        <v>43</v>
      </c>
      <c r="G6" s="4" t="s">
        <v>44</v>
      </c>
      <c r="H6" s="4" t="s">
        <v>45</v>
      </c>
      <c r="I6" s="4" t="s">
        <v>46</v>
      </c>
      <c r="J6" s="4" t="s">
        <v>47</v>
      </c>
    </row>
    <row r="7" spans="2:10" ht="22.5" customHeight="1">
      <c r="B7" s="3" t="s">
        <v>13</v>
      </c>
      <c r="C7" s="4">
        <v>19</v>
      </c>
      <c r="D7" s="4">
        <v>32</v>
      </c>
      <c r="E7" s="3" t="s">
        <v>14</v>
      </c>
      <c r="F7" s="3" t="s">
        <v>48</v>
      </c>
      <c r="G7" s="4" t="s">
        <v>49</v>
      </c>
      <c r="H7" s="4" t="s">
        <v>50</v>
      </c>
      <c r="I7" s="4" t="s">
        <v>51</v>
      </c>
      <c r="J7" s="4" t="s">
        <v>52</v>
      </c>
    </row>
    <row r="8" spans="2:10" ht="22.5" customHeight="1">
      <c r="B8" s="3" t="s">
        <v>15</v>
      </c>
      <c r="C8" s="4">
        <v>7</v>
      </c>
      <c r="D8" s="4">
        <v>16</v>
      </c>
      <c r="E8" s="3" t="s">
        <v>16</v>
      </c>
      <c r="F8" s="3" t="s">
        <v>53</v>
      </c>
      <c r="G8" s="4" t="s">
        <v>54</v>
      </c>
      <c r="H8" s="4" t="s">
        <v>55</v>
      </c>
      <c r="I8" s="4" t="s">
        <v>56</v>
      </c>
      <c r="J8" s="4" t="s">
        <v>57</v>
      </c>
    </row>
    <row r="9" spans="2:10" ht="22.5" customHeight="1">
      <c r="B9" s="3" t="s">
        <v>17</v>
      </c>
      <c r="C9" s="4">
        <v>6</v>
      </c>
      <c r="D9" s="4">
        <v>8</v>
      </c>
      <c r="E9" s="3" t="s">
        <v>18</v>
      </c>
      <c r="F9" s="3" t="s">
        <v>58</v>
      </c>
      <c r="G9" s="4" t="s">
        <v>59</v>
      </c>
      <c r="H9" s="4" t="s">
        <v>60</v>
      </c>
      <c r="I9" s="4" t="s">
        <v>61</v>
      </c>
      <c r="J9" s="4" t="s">
        <v>62</v>
      </c>
    </row>
    <row r="10" spans="2:10" ht="22.5" customHeight="1">
      <c r="B10" s="3" t="s">
        <v>19</v>
      </c>
      <c r="C10" s="4">
        <v>2</v>
      </c>
      <c r="D10" s="4">
        <v>4</v>
      </c>
      <c r="E10" s="3" t="s">
        <v>20</v>
      </c>
      <c r="F10" s="3" t="s">
        <v>63</v>
      </c>
      <c r="G10" s="4" t="s">
        <v>64</v>
      </c>
      <c r="H10" s="4" t="s">
        <v>65</v>
      </c>
      <c r="I10" s="4" t="s">
        <v>66</v>
      </c>
      <c r="J10" s="4" t="s">
        <v>67</v>
      </c>
    </row>
    <row r="12" spans="2:10" ht="13.2">
      <c r="B12" s="1" t="s">
        <v>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J17"/>
  <sheetViews>
    <sheetView workbookViewId="0"/>
  </sheetViews>
  <sheetFormatPr defaultColWidth="12.6640625" defaultRowHeight="15.75" customHeight="1"/>
  <cols>
    <col min="2" max="2" width="15.77734375" customWidth="1"/>
    <col min="3" max="3" width="50.109375" customWidth="1"/>
    <col min="4" max="4" width="17.44140625" customWidth="1"/>
    <col min="5" max="5" width="18.33203125" customWidth="1"/>
    <col min="6" max="6" width="13.21875" customWidth="1"/>
    <col min="7" max="7" width="25.21875" customWidth="1"/>
    <col min="8" max="8" width="16.77734375" customWidth="1"/>
  </cols>
  <sheetData>
    <row r="1" spans="2:10" ht="13.2">
      <c r="J1" s="1" t="s">
        <v>69</v>
      </c>
    </row>
    <row r="2" spans="2:10" ht="22.5" customHeight="1">
      <c r="B2" s="2" t="s">
        <v>70</v>
      </c>
      <c r="C2" s="2" t="s">
        <v>71</v>
      </c>
      <c r="D2" s="2" t="s">
        <v>72</v>
      </c>
      <c r="E2" s="2" t="s">
        <v>23</v>
      </c>
      <c r="F2" s="2" t="s">
        <v>26</v>
      </c>
      <c r="G2" s="2" t="s">
        <v>73</v>
      </c>
    </row>
    <row r="3" spans="2:10" ht="22.5" customHeight="1">
      <c r="B3" s="3" t="s">
        <v>74</v>
      </c>
      <c r="C3" s="4" t="s">
        <v>5</v>
      </c>
      <c r="D3" s="5" t="s">
        <v>75</v>
      </c>
      <c r="E3" s="4" t="s">
        <v>63</v>
      </c>
      <c r="F3" s="4" t="s">
        <v>36</v>
      </c>
      <c r="G3" s="4" t="s">
        <v>76</v>
      </c>
    </row>
    <row r="4" spans="2:10" ht="22.5" customHeight="1">
      <c r="B4" s="3" t="s">
        <v>77</v>
      </c>
      <c r="C4" s="4" t="s">
        <v>7</v>
      </c>
      <c r="D4" s="5" t="s">
        <v>78</v>
      </c>
      <c r="E4" s="4" t="s">
        <v>28</v>
      </c>
      <c r="F4" s="4" t="s">
        <v>79</v>
      </c>
      <c r="G4" s="4" t="s">
        <v>80</v>
      </c>
    </row>
    <row r="5" spans="2:10" ht="22.5" customHeight="1">
      <c r="B5" s="3" t="s">
        <v>81</v>
      </c>
      <c r="C5" s="4" t="s">
        <v>9</v>
      </c>
      <c r="D5" s="5" t="s">
        <v>82</v>
      </c>
      <c r="E5" s="4" t="s">
        <v>83</v>
      </c>
      <c r="F5" s="4" t="s">
        <v>84</v>
      </c>
      <c r="G5" s="4" t="s">
        <v>85</v>
      </c>
    </row>
    <row r="6" spans="2:10" ht="22.5" customHeight="1">
      <c r="B6" s="3" t="s">
        <v>86</v>
      </c>
      <c r="C6" s="4" t="s">
        <v>11</v>
      </c>
      <c r="D6" s="5" t="s">
        <v>87</v>
      </c>
      <c r="E6" s="4" t="s">
        <v>88</v>
      </c>
      <c r="F6" s="4" t="s">
        <v>89</v>
      </c>
      <c r="G6" s="4" t="s">
        <v>90</v>
      </c>
    </row>
    <row r="7" spans="2:10" ht="22.5" customHeight="1">
      <c r="B7" s="3" t="s">
        <v>91</v>
      </c>
      <c r="C7" s="4" t="s">
        <v>15</v>
      </c>
      <c r="D7" s="5" t="s">
        <v>92</v>
      </c>
      <c r="E7" s="4" t="s">
        <v>93</v>
      </c>
      <c r="F7" s="4" t="s">
        <v>94</v>
      </c>
      <c r="G7" s="4" t="s">
        <v>95</v>
      </c>
    </row>
    <row r="8" spans="2:10" ht="22.5" customHeight="1">
      <c r="B8" s="3" t="s">
        <v>96</v>
      </c>
      <c r="C8" s="4" t="s">
        <v>17</v>
      </c>
      <c r="D8" s="5" t="s">
        <v>97</v>
      </c>
      <c r="E8" s="4" t="s">
        <v>98</v>
      </c>
      <c r="F8" s="4" t="s">
        <v>99</v>
      </c>
      <c r="G8" s="4" t="s">
        <v>100</v>
      </c>
    </row>
    <row r="9" spans="2:10" ht="22.5" customHeight="1">
      <c r="B9" s="3" t="s">
        <v>101</v>
      </c>
      <c r="C9" s="4" t="s">
        <v>102</v>
      </c>
      <c r="D9" s="5" t="s">
        <v>103</v>
      </c>
      <c r="E9" s="4" t="s">
        <v>104</v>
      </c>
      <c r="F9" s="4" t="s">
        <v>105</v>
      </c>
      <c r="G9" s="4" t="s">
        <v>106</v>
      </c>
    </row>
    <row r="10" spans="2:10" ht="22.5" customHeight="1">
      <c r="B10" s="3" t="s">
        <v>107</v>
      </c>
      <c r="C10" s="4" t="s">
        <v>19</v>
      </c>
      <c r="D10" s="5" t="s">
        <v>108</v>
      </c>
      <c r="E10" s="4" t="s">
        <v>109</v>
      </c>
      <c r="F10" s="4" t="s">
        <v>110</v>
      </c>
      <c r="G10" s="4" t="s">
        <v>111</v>
      </c>
    </row>
    <row r="12" spans="2:10" ht="22.5" customHeight="1">
      <c r="B12" s="2" t="s">
        <v>112</v>
      </c>
      <c r="C12" s="2" t="s">
        <v>113</v>
      </c>
      <c r="D12" s="2" t="s">
        <v>114</v>
      </c>
      <c r="E12" s="2" t="s">
        <v>3</v>
      </c>
      <c r="F12" s="2" t="s">
        <v>115</v>
      </c>
      <c r="G12" s="2" t="s">
        <v>23</v>
      </c>
      <c r="H12" s="2" t="s">
        <v>116</v>
      </c>
    </row>
    <row r="13" spans="2:10" ht="22.5" customHeight="1">
      <c r="B13" s="4" t="s">
        <v>117</v>
      </c>
      <c r="C13" s="4" t="s">
        <v>118</v>
      </c>
      <c r="D13" s="5" t="s">
        <v>119</v>
      </c>
      <c r="E13" s="4" t="s">
        <v>8</v>
      </c>
      <c r="F13" s="4" t="s">
        <v>34</v>
      </c>
      <c r="G13" s="4" t="s">
        <v>83</v>
      </c>
      <c r="H13" s="4" t="s">
        <v>31</v>
      </c>
    </row>
    <row r="14" spans="2:10" ht="22.5" customHeight="1">
      <c r="B14" s="4" t="s">
        <v>120</v>
      </c>
      <c r="C14" s="4" t="s">
        <v>121</v>
      </c>
      <c r="D14" s="5" t="s">
        <v>122</v>
      </c>
      <c r="E14" s="4" t="s">
        <v>6</v>
      </c>
      <c r="F14" s="4" t="s">
        <v>29</v>
      </c>
      <c r="G14" s="4" t="s">
        <v>28</v>
      </c>
      <c r="H14" s="4" t="s">
        <v>31</v>
      </c>
    </row>
    <row r="15" spans="2:10" ht="22.5" customHeight="1">
      <c r="B15" s="4" t="s">
        <v>123</v>
      </c>
      <c r="C15" s="4" t="s">
        <v>124</v>
      </c>
      <c r="D15" s="6" t="s">
        <v>125</v>
      </c>
      <c r="E15" s="3" t="s">
        <v>22</v>
      </c>
      <c r="F15" s="3" t="s">
        <v>126</v>
      </c>
      <c r="G15" s="3" t="s">
        <v>63</v>
      </c>
      <c r="H15" s="3" t="s">
        <v>31</v>
      </c>
    </row>
    <row r="16" spans="2:10" ht="22.5" customHeight="1">
      <c r="B16" s="4" t="s">
        <v>127</v>
      </c>
      <c r="C16" s="4" t="s">
        <v>128</v>
      </c>
      <c r="D16" s="6" t="s">
        <v>129</v>
      </c>
      <c r="E16" s="3" t="s">
        <v>12</v>
      </c>
      <c r="F16" s="3" t="s">
        <v>44</v>
      </c>
      <c r="G16" s="3" t="s">
        <v>104</v>
      </c>
      <c r="H16" s="3" t="s">
        <v>130</v>
      </c>
    </row>
    <row r="17" spans="2:8" ht="22.5" customHeight="1">
      <c r="B17" s="4" t="s">
        <v>131</v>
      </c>
      <c r="C17" s="3" t="s">
        <v>132</v>
      </c>
      <c r="D17" s="6" t="s">
        <v>133</v>
      </c>
      <c r="E17" s="3" t="s">
        <v>134</v>
      </c>
      <c r="F17" s="3" t="s">
        <v>135</v>
      </c>
      <c r="G17" s="3" t="s">
        <v>63</v>
      </c>
      <c r="H17" s="3" t="s">
        <v>136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Subnetting</vt:lpstr>
      <vt:lpstr>VLSM</vt:lpstr>
      <vt:lpstr>CIDR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Rafi</cp:lastModifiedBy>
  <dcterms:modified xsi:type="dcterms:W3CDTF">2025-11-12T14:27:04Z</dcterms:modified>
</cp:coreProperties>
</file>